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3"/>
    <sheet state="visible" name="Calculos" sheetId="2" r:id="rId4"/>
    <sheet state="visible" name="Graficos" sheetId="3" r:id="rId5"/>
    <sheet state="visible" name="Insights" sheetId="4" r:id="rId6"/>
  </sheets>
  <definedNames/>
  <calcPr/>
</workbook>
</file>

<file path=xl/sharedStrings.xml><?xml version="1.0" encoding="utf-8"?>
<sst xmlns="http://schemas.openxmlformats.org/spreadsheetml/2006/main" count="32" uniqueCount="31">
  <si>
    <t>Funil</t>
  </si>
  <si>
    <t>M-1</t>
  </si>
  <si>
    <t>M</t>
  </si>
  <si>
    <t>Lead (cadastro no site)</t>
  </si>
  <si>
    <t>Trial (teste gratuito de 14 dias)</t>
  </si>
  <si>
    <t>Conversão para cliente pago</t>
  </si>
  <si>
    <t>Lead → Trial</t>
  </si>
  <si>
    <t>Trial → Pago</t>
  </si>
  <si>
    <t xml:space="preserve">Conversão total </t>
  </si>
  <si>
    <t>Média</t>
  </si>
  <si>
    <t>Desv Padrão</t>
  </si>
  <si>
    <t>Intervalo 95%</t>
  </si>
  <si>
    <t>Intervalo inf</t>
  </si>
  <si>
    <t>Intervalo sup</t>
  </si>
  <si>
    <t>Probabilidade de obter 170 clientes ou menos</t>
  </si>
  <si>
    <t>Z</t>
  </si>
  <si>
    <t>Prob tab Z</t>
  </si>
  <si>
    <t>Freq esperada</t>
  </si>
  <si>
    <t>Teste de hipótese</t>
  </si>
  <si>
    <t>H₀ (nula): queda é variação natural</t>
  </si>
  <si>
    <t>H₀: A taxa real de conversão permanece em 10%, e a queda observada é explicada por variação aleatória natural.</t>
  </si>
  <si>
    <t>H0​:p=0,10</t>
  </si>
  <si>
    <t>H₁ (alternativa): campanha piorou conversão</t>
  </si>
  <si>
    <t>H₁: A taxa real de conversão é menor que 10%, indicando piora após a campanha.</t>
  </si>
  <si>
    <t>H1​:p&lt;0,10</t>
  </si>
  <si>
    <t>Se p-value &lt; 5% → rejeitamos H₀</t>
  </si>
  <si>
    <t>Aqui: 1,25% &lt; 5%</t>
  </si>
  <si>
    <t>Assumindo a taxa histórica, o resultado observado tem baixa probabilidade de ocorrer. Isso sugere que houve uma mudança real no processo, e vale investigar segmentação e origem dos leads antes de escalar a campanha.</t>
  </si>
  <si>
    <t>1️⃣ Aplicar o teste por segmento (bares pequenos vs grandes) COORTE</t>
  </si>
  <si>
    <t>2️⃣ Comparar antes vs depois da campanha</t>
  </si>
  <si>
    <t>3️⃣ Traduzir isso em decisão prática (pausar, ajustar ou continuar)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</si>
</sst>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9" xfId="0" applyAlignment="1" applyFont="1" applyNumberFormat="1">
      <alignment readingOrder="0"/>
    </xf>
    <xf borderId="0" fillId="0" fontId="1" numFmtId="2" xfId="0" applyFont="1" applyNumberFormat="1"/>
    <xf borderId="0" fillId="0" fontId="1" numFmtId="1" xfId="0" applyAlignment="1" applyFont="1" applyNumberFormat="1">
      <alignment readingOrder="0"/>
    </xf>
    <xf borderId="0" fillId="0" fontId="1" numFmtId="9" xfId="0" applyFont="1" applyNumberFormat="1"/>
    <xf borderId="0" fillId="0" fontId="1" numFmtId="1" xfId="0" applyFont="1" applyNumberFormat="1"/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2000.0</v>
      </c>
      <c r="C2" s="1">
        <v>2000.0</v>
      </c>
    </row>
    <row r="3">
      <c r="A3" s="1" t="s">
        <v>4</v>
      </c>
      <c r="B3">
        <f>40%*B2</f>
        <v>800</v>
      </c>
      <c r="C3" s="1">
        <v>760.0</v>
      </c>
    </row>
    <row r="4">
      <c r="A4" s="1" t="s">
        <v>5</v>
      </c>
      <c r="B4">
        <f>25%*B3</f>
        <v>200</v>
      </c>
      <c r="C4" s="1">
        <v>170.0</v>
      </c>
    </row>
    <row r="5">
      <c r="A5" s="1" t="s">
        <v>6</v>
      </c>
      <c r="B5" s="2">
        <f t="shared" ref="B5:C5" si="1">B3/B2</f>
        <v>0.4</v>
      </c>
      <c r="C5" s="2">
        <f t="shared" si="1"/>
        <v>0.38</v>
      </c>
    </row>
    <row r="6">
      <c r="A6" s="1" t="s">
        <v>7</v>
      </c>
      <c r="B6" s="2">
        <f t="shared" ref="B6:C6" si="2">B4/B3</f>
        <v>0.25</v>
      </c>
      <c r="C6" s="2">
        <f t="shared" si="2"/>
        <v>0.2236842105</v>
      </c>
    </row>
    <row r="7">
      <c r="A7" s="1" t="s">
        <v>8</v>
      </c>
      <c r="B7" s="2">
        <f t="shared" ref="B7:C7" si="3">B6*B5</f>
        <v>0.1</v>
      </c>
      <c r="C7" s="2">
        <f t="shared" si="3"/>
        <v>0.085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1</v>
      </c>
    </row>
    <row r="2">
      <c r="A2" s="1" t="s">
        <v>9</v>
      </c>
      <c r="B2">
        <f>Dados!B2*Dados!B7</f>
        <v>200</v>
      </c>
      <c r="C2" s="3"/>
    </row>
    <row r="3">
      <c r="A3" s="1" t="s">
        <v>10</v>
      </c>
      <c r="B3" s="4">
        <f>SQRT(2000*0.1*0.9)</f>
        <v>13.41640786</v>
      </c>
      <c r="C3" s="3"/>
    </row>
    <row r="4">
      <c r="A4" s="1" t="s">
        <v>11</v>
      </c>
      <c r="B4" s="5">
        <f>2*B3</f>
        <v>26.83281573</v>
      </c>
      <c r="C4" s="6"/>
    </row>
    <row r="5">
      <c r="A5" s="1" t="s">
        <v>12</v>
      </c>
      <c r="B5" s="7">
        <f>B2-B4</f>
        <v>173.1671843</v>
      </c>
      <c r="C5" s="6"/>
    </row>
    <row r="6">
      <c r="A6" s="1" t="s">
        <v>13</v>
      </c>
      <c r="B6" s="7">
        <f>B2+B4</f>
        <v>226.8328157</v>
      </c>
      <c r="C6" s="6"/>
    </row>
    <row r="7">
      <c r="C7" s="6"/>
    </row>
    <row r="8">
      <c r="A8" s="1" t="s">
        <v>14</v>
      </c>
      <c r="C8" s="6"/>
    </row>
    <row r="9">
      <c r="A9" s="1" t="s">
        <v>15</v>
      </c>
      <c r="B9">
        <f>(170-B2)/B3</f>
        <v>-2.236067977</v>
      </c>
      <c r="C9" s="6"/>
    </row>
    <row r="10">
      <c r="A10" s="1" t="s">
        <v>16</v>
      </c>
      <c r="B10" s="8">
        <f>48.75%-50%</f>
        <v>-0.0125</v>
      </c>
      <c r="C10" s="6"/>
    </row>
    <row r="11">
      <c r="A11" s="1" t="s">
        <v>17</v>
      </c>
      <c r="B11" s="1">
        <f>1/B10</f>
        <v>-80</v>
      </c>
      <c r="C11" s="6"/>
    </row>
    <row r="12">
      <c r="C12" s="6"/>
    </row>
    <row r="13">
      <c r="A13" s="1" t="s">
        <v>18</v>
      </c>
      <c r="C13" s="6"/>
    </row>
    <row r="14">
      <c r="A14" s="1" t="s">
        <v>19</v>
      </c>
      <c r="C14" s="6"/>
      <c r="D14" s="1" t="s">
        <v>20</v>
      </c>
    </row>
    <row r="15">
      <c r="A15" s="1" t="s">
        <v>21</v>
      </c>
      <c r="C15" s="6"/>
    </row>
    <row r="16">
      <c r="C16" s="6"/>
    </row>
    <row r="17">
      <c r="A17" s="1" t="s">
        <v>22</v>
      </c>
      <c r="C17" s="6"/>
      <c r="D17" s="1" t="s">
        <v>23</v>
      </c>
    </row>
    <row r="18">
      <c r="A18" s="1" t="s">
        <v>24</v>
      </c>
      <c r="C18" s="6"/>
    </row>
    <row r="19">
      <c r="C19" s="6"/>
    </row>
    <row r="20">
      <c r="A20" s="1" t="s">
        <v>25</v>
      </c>
      <c r="C20" s="6"/>
    </row>
    <row r="21">
      <c r="A21" s="1" t="s">
        <v>26</v>
      </c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</cols>
  <sheetData>
    <row r="1">
      <c r="A1" s="1" t="s">
        <v>27</v>
      </c>
    </row>
    <row r="3">
      <c r="A3" s="1" t="s">
        <v>28</v>
      </c>
    </row>
    <row r="4">
      <c r="A4" s="1" t="s">
        <v>29</v>
      </c>
    </row>
    <row r="5">
      <c r="A5" s="1" t="s">
        <v>30</v>
      </c>
    </row>
  </sheetData>
  <drawing r:id="rId1"/>
</worksheet>
</file>